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amuelAssmann\Desktop\Sekretariat-Spiel\"/>
    </mc:Choice>
  </mc:AlternateContent>
  <xr:revisionPtr revIDLastSave="0" documentId="13_ncr:1_{A2D174FB-2660-4056-90C8-426C8A52D223}" xr6:coauthVersionLast="36" xr6:coauthVersionMax="36" xr10:uidLastSave="{00000000-0000-0000-0000-000000000000}"/>
  <bookViews>
    <workbookView xWindow="0" yWindow="0" windowWidth="28800" windowHeight="12810" xr2:uid="{BEE3A3E7-6EB3-4BE5-BB30-622BB8375DB9}"/>
  </bookViews>
  <sheets>
    <sheet name="Statu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H5" i="1"/>
  <c r="H4" i="1"/>
  <c r="H3" i="1"/>
  <c r="G6" i="1"/>
  <c r="G5" i="1"/>
  <c r="G4" i="1"/>
  <c r="G3" i="1"/>
  <c r="F6" i="1"/>
  <c r="F5" i="1"/>
  <c r="F4" i="1"/>
  <c r="F3" i="1"/>
  <c r="E6" i="1"/>
  <c r="E5" i="1"/>
  <c r="E4" i="1"/>
  <c r="E3" i="1"/>
  <c r="H2" i="1" l="1"/>
  <c r="E2" i="1"/>
  <c r="G2" i="1"/>
  <c r="F2" i="1"/>
</calcChain>
</file>

<file path=xl/sharedStrings.xml><?xml version="1.0" encoding="utf-8"?>
<sst xmlns="http://schemas.openxmlformats.org/spreadsheetml/2006/main" count="23" uniqueCount="23">
  <si>
    <t>Status</t>
  </si>
  <si>
    <t>Ankunft</t>
  </si>
  <si>
    <t>Name</t>
  </si>
  <si>
    <t>Laura</t>
  </si>
  <si>
    <t>Lukas</t>
  </si>
  <si>
    <t>Jonas</t>
  </si>
  <si>
    <t>Philipp</t>
  </si>
  <si>
    <t>Samuel</t>
  </si>
  <si>
    <t>Abfahrt</t>
  </si>
  <si>
    <t>Log Laura</t>
  </si>
  <si>
    <t>Time Laura</t>
  </si>
  <si>
    <t>Log Lukas</t>
  </si>
  <si>
    <t>Time Lukas</t>
  </si>
  <si>
    <t>Log Jonas</t>
  </si>
  <si>
    <t>Time Jonas</t>
  </si>
  <si>
    <t>Log Philipp</t>
  </si>
  <si>
    <t>Time Philipp</t>
  </si>
  <si>
    <t>Log Samuel</t>
  </si>
  <si>
    <t>Time Samuel</t>
  </si>
  <si>
    <t>Tage</t>
  </si>
  <si>
    <t>Stunden</t>
  </si>
  <si>
    <t>Minuten</t>
  </si>
  <si>
    <t>Sekunden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</si>
</sst>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0" borderId="1" xfId="0" applyBorder="1"/>
    <xf numFmtId="22" fontId="0" fillId="0" borderId="1" xfId="0" applyNumberFormat="1" applyBorder="1"/>
    <xf numFmtId="0" fontId="0" fillId="0" borderId="2" xfId="0" applyBorder="1"/>
    <xf numFmtId="0" fontId="0" fillId="0" borderId="0" xfId="0" applyBorder="1"/>
    <xf numFmtId="22" fontId="0" fillId="0" borderId="0" xfId="0" applyNumberFormat="1" applyBorder="1"/>
  </cellXfs>
  <cellStyles count="1">
    <cellStyle name="Standard" xfId="0" builtinId="0"/>
  </cellStyles>
  <dxfs count="4"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180975</xdr:rowOff>
        </xdr:from>
        <xdr:to>
          <xdr:col>3</xdr:col>
          <xdr:colOff>314325</xdr:colOff>
          <xdr:row>13</xdr:row>
          <xdr:rowOff>152400</xdr:rowOff>
        </xdr:to>
        <xdr:sp macro="" textlink="">
          <xdr:nvSpPr>
            <xdr:cNvPr id="1026" name="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76200</xdr:rowOff>
        </xdr:from>
        <xdr:to>
          <xdr:col>3</xdr:col>
          <xdr:colOff>295275</xdr:colOff>
          <xdr:row>17</xdr:row>
          <xdr:rowOff>47625</xdr:rowOff>
        </xdr:to>
        <xdr:sp macro="" textlink="">
          <xdr:nvSpPr>
            <xdr:cNvPr id="1031" name="Butt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Lukas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0</xdr:rowOff>
        </xdr:from>
        <xdr:to>
          <xdr:col>3</xdr:col>
          <xdr:colOff>295275</xdr:colOff>
          <xdr:row>20</xdr:row>
          <xdr:rowOff>161925</xdr:rowOff>
        </xdr:to>
        <xdr:sp macro="" textlink="">
          <xdr:nvSpPr>
            <xdr:cNvPr id="1032" name="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21</xdr:row>
          <xdr:rowOff>76200</xdr:rowOff>
        </xdr:from>
        <xdr:to>
          <xdr:col>3</xdr:col>
          <xdr:colOff>314325</xdr:colOff>
          <xdr:row>24</xdr:row>
          <xdr:rowOff>47625</xdr:rowOff>
        </xdr:to>
        <xdr:sp macro="" textlink="">
          <xdr:nvSpPr>
            <xdr:cNvPr id="1033" name="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Philipp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24</xdr:row>
          <xdr:rowOff>171450</xdr:rowOff>
        </xdr:from>
        <xdr:to>
          <xdr:col>3</xdr:col>
          <xdr:colOff>342900</xdr:colOff>
          <xdr:row>27</xdr:row>
          <xdr:rowOff>142875</xdr:rowOff>
        </xdr:to>
        <xdr:sp macro="" textlink="">
          <xdr:nvSpPr>
            <xdr:cNvPr id="1034" name="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Samuel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A952FE-16AE-4BFB-9171-8ABD09B15430}" name="Tabelle1" displayName="Tabelle1" ref="A1:H6" totalsRowShown="0">
  <autoFilter ref="A1:H6" xr:uid="{78B5F60F-49F4-432A-9733-18EEF4BE0F9F}"/>
  <tableColumns count="8">
    <tableColumn id="1" xr3:uid="{98BFAD30-AABB-4AAD-AFAE-6AA4A8FC337D}" name="Name"/>
    <tableColumn id="2" xr3:uid="{A5B6D16E-0A9B-47A2-8E46-1D039D58A801}" name="Status"/>
    <tableColumn id="3" xr3:uid="{B83F7F3A-3223-408E-A881-FAABB0C1ECA1}" name="Ankunft" dataDxfId="3"/>
    <tableColumn id="4" xr3:uid="{40D7D623-7CC2-4C29-AA71-EA20B2778778}" name="Abfahrt" dataDxfId="2"/>
    <tableColumn id="5" xr3:uid="{B9FAB8A8-7439-4FCF-9F5F-ECCD1318FA7A}" name="Tage" dataDxfId="1"/>
    <tableColumn id="6" xr3:uid="{48856642-842D-403A-B5F3-899432E03763}" name="Stunden" dataDxfId="0"/>
    <tableColumn id="7" xr3:uid="{9BEA5C20-2524-405A-9602-A8E12FF20F0A}" name="Minuten"/>
    <tableColumn id="8" xr3:uid="{B8D325BD-416F-49C9-9471-CB59C9D0B91B}" name="Sekunde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B64C-D36D-4DF0-8261-E2DCD21EFCAF}">
  <sheetPr codeName="Tabelle1"/>
  <dimension ref="A1:U29"/>
  <sheetViews>
    <sheetView tabSelected="1" workbookViewId="0"/>
  </sheetViews>
  <sheetFormatPr baseColWidth="10" defaultRowHeight="15" x14ac:dyDescent="0.25"/>
  <cols>
    <col min="2" max="2" width="15.140625" bestFit="1" customWidth="1"/>
    <col min="3" max="3" width="22.85546875" customWidth="1"/>
    <col min="4" max="4" width="29.85546875" customWidth="1"/>
    <col min="5" max="6" width="12.5703125" customWidth="1"/>
    <col min="8" max="8" width="12" customWidth="1"/>
    <col min="9" max="9" width="12.42578125" customWidth="1"/>
    <col min="12" max="21" width="25.7109375" style="3" customWidth="1"/>
  </cols>
  <sheetData>
    <row r="1" spans="1:21" ht="15.75" thickBot="1" x14ac:dyDescent="0.3">
      <c r="A1" t="s">
        <v>2</v>
      </c>
      <c r="B1" t="s">
        <v>0</v>
      </c>
      <c r="C1" t="s">
        <v>1</v>
      </c>
      <c r="D1" t="s">
        <v>8</v>
      </c>
      <c r="E1" t="s">
        <v>19</v>
      </c>
      <c r="F1" t="s">
        <v>20</v>
      </c>
      <c r="G1" t="s">
        <v>21</v>
      </c>
      <c r="H1" t="s">
        <v>22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</row>
    <row r="2" spans="1:21" ht="15.75" thickTop="1" x14ac:dyDescent="0.25">
      <c r="A2" t="s">
        <v>3</v>
      </c>
      <c r="B2" s="2">
        <v>0</v>
      </c>
      <c r="C2" s="1">
        <v>44105.781099537038</v>
      </c>
      <c r="D2" s="1">
        <v>44105.781122685185</v>
      </c>
      <c r="E2" s="2">
        <f>QUOTIENT(QUOTIENT(QUOTIENT(SUM(M:M),60),60),24)</f>
        <v>0</v>
      </c>
      <c r="F2" s="2">
        <f>MOD(QUOTIENT(QUOTIENT(SUM(M:M),60),60),24)</f>
        <v>0</v>
      </c>
      <c r="G2">
        <f>MOD(QUOTIENT(SUM(M:M),60),60)</f>
        <v>30</v>
      </c>
      <c r="H2">
        <f>MOD(SUM(M:M),60)</f>
        <v>0</v>
      </c>
      <c r="I2" s="1"/>
      <c r="L2" s="4">
        <v>44105.761967592596</v>
      </c>
      <c r="M2" s="3">
        <v>1800</v>
      </c>
      <c r="N2" s="4">
        <v>44105.764768518522</v>
      </c>
      <c r="O2" s="3">
        <v>1800</v>
      </c>
      <c r="P2" s="4">
        <v>44105.781180555554</v>
      </c>
      <c r="Q2" s="3">
        <v>1800</v>
      </c>
      <c r="R2" s="4">
        <v>44105.781226851854</v>
      </c>
      <c r="S2" s="3">
        <v>1800</v>
      </c>
      <c r="T2" s="4">
        <v>44105.781307870369</v>
      </c>
      <c r="U2" s="3">
        <v>1800</v>
      </c>
    </row>
    <row r="3" spans="1:21" x14ac:dyDescent="0.25">
      <c r="A3" t="s">
        <v>4</v>
      </c>
      <c r="B3">
        <v>0</v>
      </c>
      <c r="C3" s="1">
        <v>44105.781134259261</v>
      </c>
      <c r="D3" s="1">
        <v>44105.781157407408</v>
      </c>
      <c r="E3" s="2">
        <f>QUOTIENT(QUOTIENT(QUOTIENT(SUM(O:O),60),60),24)</f>
        <v>0</v>
      </c>
      <c r="F3" s="2">
        <f>MOD(QUOTIENT(QUOTIENT(SUM(O:O),60),60),24)</f>
        <v>0</v>
      </c>
      <c r="G3">
        <f>MOD(QUOTIENT(SUM(O:O),60),60)</f>
        <v>30</v>
      </c>
      <c r="H3">
        <f>MOD(SUM(O:O),60)</f>
        <v>0</v>
      </c>
      <c r="L3" s="4"/>
      <c r="N3" s="4"/>
      <c r="P3" s="4"/>
      <c r="R3" s="4"/>
      <c r="T3" s="4">
        <v>44105.786261574074</v>
      </c>
      <c r="U3" s="3">
        <v>3</v>
      </c>
    </row>
    <row r="4" spans="1:21" x14ac:dyDescent="0.25">
      <c r="A4" t="s">
        <v>5</v>
      </c>
      <c r="B4">
        <v>0</v>
      </c>
      <c r="C4" s="1">
        <v>44105.781180555554</v>
      </c>
      <c r="D4" s="1">
        <v>44105.781192129631</v>
      </c>
      <c r="E4" s="2">
        <f>QUOTIENT(QUOTIENT(QUOTIENT(SUM(Q:Q),60),60),24)</f>
        <v>0</v>
      </c>
      <c r="F4" s="2">
        <f>MOD(QUOTIENT(QUOTIENT(SUM(Q:Q),60),60),24)</f>
        <v>0</v>
      </c>
      <c r="G4">
        <f>MOD(QUOTIENT(SUM(Q:Q),60),60)</f>
        <v>30</v>
      </c>
      <c r="H4">
        <f>MOD(SUM(Q:Q),60)</f>
        <v>0</v>
      </c>
      <c r="L4" s="4"/>
      <c r="N4" s="4"/>
      <c r="T4" s="4">
        <v>44105.786296296297</v>
      </c>
    </row>
    <row r="5" spans="1:21" x14ac:dyDescent="0.25">
      <c r="A5" t="s">
        <v>6</v>
      </c>
      <c r="B5">
        <v>0</v>
      </c>
      <c r="C5" s="1">
        <v>44105.781226851854</v>
      </c>
      <c r="D5" s="1">
        <v>44105.781238425923</v>
      </c>
      <c r="E5" s="2">
        <f>QUOTIENT(QUOTIENT(QUOTIENT(SUM(S:S),60),60),24)</f>
        <v>0</v>
      </c>
      <c r="F5" s="2">
        <f>MOD(QUOTIENT(QUOTIENT(SUM(S:S),60),60),24)</f>
        <v>0</v>
      </c>
      <c r="G5">
        <f>MOD(QUOTIENT(SUM(S:S),60),60)</f>
        <v>30</v>
      </c>
      <c r="H5">
        <f>MOD(SUM(S:S),60)</f>
        <v>0</v>
      </c>
      <c r="L5" s="4"/>
      <c r="T5" s="4">
        <v>44106.374259259261</v>
      </c>
    </row>
    <row r="6" spans="1:21" x14ac:dyDescent="0.25">
      <c r="A6" t="s">
        <v>7</v>
      </c>
      <c r="B6">
        <v>1</v>
      </c>
      <c r="C6" s="1">
        <v>44106.374259259261</v>
      </c>
      <c r="D6" s="1">
        <v>44105.786296296297</v>
      </c>
      <c r="E6" s="2">
        <f>QUOTIENT(QUOTIENT(QUOTIENT(SUM(U:U),60),60),24)</f>
        <v>0</v>
      </c>
      <c r="F6" s="2">
        <f>MOD(QUOTIENT(QUOTIENT(SUM(U:U),60),60),24)</f>
        <v>0</v>
      </c>
      <c r="G6">
        <f>MOD(QUOTIENT(SUM(U:U),60),60)</f>
        <v>30</v>
      </c>
      <c r="H6">
        <f>MOD(SUM(U:U),60)</f>
        <v>3</v>
      </c>
      <c r="L6" s="4"/>
    </row>
    <row r="7" spans="1:21" x14ac:dyDescent="0.25">
      <c r="A7" s="6"/>
      <c r="B7" s="6"/>
      <c r="C7" s="6"/>
      <c r="D7" s="6"/>
      <c r="E7" s="6"/>
      <c r="F7" s="6"/>
      <c r="G7" s="6"/>
      <c r="H7" s="6"/>
    </row>
    <row r="8" spans="1:21" x14ac:dyDescent="0.25">
      <c r="A8" s="6"/>
      <c r="B8" s="6"/>
      <c r="C8" s="6"/>
      <c r="D8" s="6"/>
      <c r="E8" s="6"/>
      <c r="F8" s="6"/>
      <c r="G8" s="6"/>
      <c r="H8" s="6"/>
    </row>
    <row r="9" spans="1:21" x14ac:dyDescent="0.25">
      <c r="A9" s="6"/>
      <c r="B9" s="6"/>
      <c r="C9" s="6"/>
      <c r="D9" s="6"/>
      <c r="E9" s="6"/>
      <c r="F9" s="6"/>
      <c r="G9" s="6"/>
      <c r="H9" s="6"/>
    </row>
    <row r="10" spans="1:21" x14ac:dyDescent="0.25">
      <c r="A10" s="6"/>
      <c r="B10" s="6"/>
      <c r="C10" s="6"/>
      <c r="D10" s="6"/>
      <c r="E10" s="6"/>
      <c r="F10" s="6"/>
      <c r="G10" s="6"/>
      <c r="H10" s="6"/>
    </row>
    <row r="11" spans="1:21" x14ac:dyDescent="0.25">
      <c r="A11" s="6"/>
      <c r="B11" s="6"/>
      <c r="C11" s="6"/>
      <c r="D11" s="6"/>
      <c r="E11" s="6"/>
      <c r="F11" s="6"/>
      <c r="G11" s="6"/>
      <c r="H11" s="6"/>
      <c r="O11" s="4"/>
    </row>
    <row r="12" spans="1:21" x14ac:dyDescent="0.25">
      <c r="A12" s="6"/>
      <c r="B12" s="6"/>
      <c r="C12" s="6"/>
      <c r="D12" s="6"/>
      <c r="E12" s="6"/>
      <c r="F12" s="6"/>
      <c r="G12" s="6"/>
      <c r="H12" s="6"/>
    </row>
    <row r="13" spans="1:21" x14ac:dyDescent="0.25">
      <c r="A13" s="6"/>
      <c r="B13" s="6"/>
      <c r="C13" s="6"/>
      <c r="D13" s="6"/>
      <c r="E13" s="6"/>
      <c r="F13" s="6"/>
      <c r="G13" s="6"/>
      <c r="H13" s="6"/>
    </row>
    <row r="14" spans="1:21" x14ac:dyDescent="0.25">
      <c r="A14" s="6"/>
      <c r="B14" s="6"/>
      <c r="C14" s="6"/>
      <c r="D14" s="6"/>
      <c r="E14" s="6"/>
      <c r="F14" s="6"/>
      <c r="G14" s="6"/>
      <c r="H14" s="6"/>
    </row>
    <row r="15" spans="1:21" x14ac:dyDescent="0.25">
      <c r="A15" s="6"/>
      <c r="B15" s="6"/>
      <c r="C15" s="6"/>
      <c r="D15" s="6"/>
      <c r="E15" s="6"/>
      <c r="F15" s="6"/>
      <c r="G15" s="6"/>
      <c r="H15" s="6"/>
    </row>
    <row r="16" spans="1:21" x14ac:dyDescent="0.25">
      <c r="A16" s="6"/>
      <c r="B16" s="6"/>
      <c r="C16" s="6"/>
      <c r="D16" s="6"/>
      <c r="E16" s="6"/>
      <c r="F16" s="6"/>
      <c r="G16" s="6"/>
      <c r="H16" s="6"/>
    </row>
    <row r="17" spans="1:8" x14ac:dyDescent="0.25">
      <c r="A17" s="6"/>
      <c r="B17" s="6"/>
      <c r="C17" s="6"/>
      <c r="D17" s="6"/>
      <c r="E17" s="6"/>
      <c r="F17" s="6"/>
      <c r="G17" s="6"/>
      <c r="H17" s="6"/>
    </row>
    <row r="18" spans="1:8" x14ac:dyDescent="0.25">
      <c r="A18" s="6"/>
      <c r="B18" s="6"/>
      <c r="C18" s="6"/>
      <c r="D18" s="6"/>
      <c r="E18" s="6"/>
      <c r="F18" s="6"/>
      <c r="G18" s="6"/>
      <c r="H18" s="6"/>
    </row>
    <row r="19" spans="1:8" x14ac:dyDescent="0.25">
      <c r="A19" s="6"/>
      <c r="B19" s="6"/>
      <c r="C19" s="6"/>
      <c r="D19" s="6"/>
      <c r="E19" s="6"/>
      <c r="F19" s="6"/>
      <c r="G19" s="6"/>
      <c r="H19" s="6"/>
    </row>
    <row r="20" spans="1:8" x14ac:dyDescent="0.25">
      <c r="A20" s="6"/>
      <c r="B20" s="6"/>
      <c r="C20" s="6"/>
      <c r="D20" s="6"/>
      <c r="E20" s="6"/>
      <c r="F20" s="6"/>
      <c r="G20" s="6"/>
      <c r="H20" s="6"/>
    </row>
    <row r="21" spans="1:8" x14ac:dyDescent="0.25">
      <c r="A21" s="6"/>
      <c r="B21" s="6"/>
      <c r="C21" s="6"/>
      <c r="D21" s="6"/>
      <c r="E21" s="6"/>
      <c r="F21" s="6"/>
      <c r="G21" s="6"/>
      <c r="H21" s="6"/>
    </row>
    <row r="22" spans="1:8" x14ac:dyDescent="0.25">
      <c r="A22" s="6"/>
      <c r="B22" s="6"/>
      <c r="C22" s="6"/>
      <c r="D22" s="6"/>
      <c r="E22" s="6"/>
      <c r="F22" s="6"/>
      <c r="G22" s="6"/>
      <c r="H22" s="6"/>
    </row>
    <row r="23" spans="1:8" x14ac:dyDescent="0.25">
      <c r="A23" s="6"/>
      <c r="B23" s="6"/>
      <c r="C23" s="6"/>
      <c r="D23" s="7"/>
      <c r="E23" s="7"/>
      <c r="F23" s="6"/>
      <c r="G23" s="6"/>
      <c r="H23" s="6"/>
    </row>
    <row r="24" spans="1:8" x14ac:dyDescent="0.25">
      <c r="A24" s="6"/>
      <c r="B24" s="6"/>
      <c r="C24" s="6"/>
      <c r="D24" s="6"/>
      <c r="E24" s="6"/>
      <c r="F24" s="6"/>
      <c r="G24" s="6"/>
      <c r="H24" s="6"/>
    </row>
    <row r="25" spans="1:8" x14ac:dyDescent="0.25">
      <c r="A25" s="6"/>
      <c r="B25" s="6"/>
      <c r="C25" s="6"/>
      <c r="D25" s="6"/>
      <c r="E25" s="6"/>
      <c r="F25" s="6"/>
      <c r="G25" s="6"/>
      <c r="H25" s="6"/>
    </row>
    <row r="26" spans="1:8" x14ac:dyDescent="0.25">
      <c r="A26" s="6"/>
      <c r="B26" s="6"/>
      <c r="C26" s="6"/>
      <c r="D26" s="6"/>
      <c r="E26" s="6"/>
      <c r="F26" s="6"/>
      <c r="G26" s="6"/>
      <c r="H26" s="6"/>
    </row>
    <row r="27" spans="1:8" x14ac:dyDescent="0.25">
      <c r="A27" s="6"/>
      <c r="B27" s="6"/>
      <c r="C27" s="6"/>
      <c r="D27" s="6"/>
      <c r="E27" s="6"/>
      <c r="F27" s="6"/>
      <c r="G27" s="6"/>
      <c r="H27" s="6"/>
    </row>
    <row r="28" spans="1:8" x14ac:dyDescent="0.25">
      <c r="A28" s="6"/>
      <c r="B28" s="6"/>
      <c r="C28" s="6"/>
      <c r="D28" s="6"/>
      <c r="E28" s="6"/>
      <c r="F28" s="6"/>
      <c r="G28" s="6"/>
      <c r="H28" s="6"/>
    </row>
    <row r="29" spans="1:8" x14ac:dyDescent="0.25">
      <c r="A29" s="6"/>
      <c r="B29" s="6"/>
      <c r="C29" s="6"/>
      <c r="D29" s="6"/>
      <c r="E29" s="6"/>
      <c r="F29" s="6"/>
      <c r="G29" s="6"/>
      <c r="H29" s="6"/>
    </row>
  </sheetData>
  <conditionalFormatting sqref="B2:B6">
    <cfRule type="colorScale" priority="1">
      <colorScale>
        <cfvo type="num" val="0"/>
        <cfvo type="num" val="1"/>
        <color rgb="FFFF0000"/>
        <color rgb="FF00B050"/>
      </colorScale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">
              <controlPr defaultSize="0" print="0" autoFill="0" autoPict="0" macro="[0]!Laura">
                <anchor moveWithCells="1" sizeWithCells="1">
                  <from>
                    <xdr:col>0</xdr:col>
                    <xdr:colOff>438150</xdr:colOff>
                    <xdr:row>10</xdr:row>
                    <xdr:rowOff>180975</xdr:rowOff>
                  </from>
                  <to>
                    <xdr:col>3</xdr:col>
                    <xdr:colOff>314325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">
              <controlPr defaultSize="0" print="0" autoFill="0" autoPict="0" macro="[0]!Lukas">
                <anchor moveWithCells="1" sizeWithCells="1">
                  <from>
                    <xdr:col>0</xdr:col>
                    <xdr:colOff>419100</xdr:colOff>
                    <xdr:row>14</xdr:row>
                    <xdr:rowOff>76200</xdr:rowOff>
                  </from>
                  <to>
                    <xdr:col>3</xdr:col>
                    <xdr:colOff>295275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">
              <controlPr defaultSize="0" print="0" autoFill="0" autoPict="0" macro="[0]!Jonas">
                <anchor moveWithCells="1" sizeWithCells="1">
                  <from>
                    <xdr:col>0</xdr:col>
                    <xdr:colOff>419100</xdr:colOff>
                    <xdr:row>18</xdr:row>
                    <xdr:rowOff>0</xdr:rowOff>
                  </from>
                  <to>
                    <xdr:col>3</xdr:col>
                    <xdr:colOff>295275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">
              <controlPr defaultSize="0" print="0" autoFill="0" autoPict="0" macro="[0]!Philipp">
                <anchor moveWithCells="1" sizeWithCells="1">
                  <from>
                    <xdr:col>0</xdr:col>
                    <xdr:colOff>438150</xdr:colOff>
                    <xdr:row>21</xdr:row>
                    <xdr:rowOff>76200</xdr:rowOff>
                  </from>
                  <to>
                    <xdr:col>3</xdr:col>
                    <xdr:colOff>314325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">
              <controlPr defaultSize="0" print="0" autoFill="0" autoPict="0" macro="[0]!Samuel">
                <anchor moveWithCells="1" sizeWithCells="1">
                  <from>
                    <xdr:col>0</xdr:col>
                    <xdr:colOff>466725</xdr:colOff>
                    <xdr:row>24</xdr:row>
                    <xdr:rowOff>171450</xdr:rowOff>
                  </from>
                  <to>
                    <xdr:col>3</xdr:col>
                    <xdr:colOff>342900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SamuelAssmann</dc:creator>
  <cp:lastModifiedBy>SamuelAssmann</cp:lastModifiedBy>
  <dcterms:created xsi:type="dcterms:W3CDTF">2020-10-01T10:36:19Z</dcterms:created>
  <dcterms:modified xsi:type="dcterms:W3CDTF">2020-10-02T06:59:01Z</dcterms:modified>
</cp:coreProperties>
</file>